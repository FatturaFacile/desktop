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6" rupBuild="24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usskov.alexander\source\repos\WpfSuperApp\WpfSuperApp\"/>
    </mc:Choice>
  </mc:AlternateContent>
  <bookViews>
    <workbookView xWindow="-120" yWindow="-120" windowWidth="29040" windowHeight="15840"/>
  </bookViews>
  <sheets>
    <sheet name="Portfolio" sheetId="1" r:id="rId1"/>
    <sheet name="Calculations" sheetId="2" state="hidden" r:id="rId2"/>
  </sheets>
  <definedNames>
    <definedName name="DataTable">Portfolio!$B$19:$I$30</definedName>
  </definedNames>
  <calcPr calcId="191029"/>
</workbook>
</file>

<file path=xl/calcChain.xml><?xml version="1.0" encoding="utf-8"?>
<calcChain xmlns="http://schemas.openxmlformats.org/spreadsheetml/2006/main">
  <c a="1" i="2" l="1" r="B4"/>
  <c r="B4"/>
  <c a="1" l="1" r="B5"/>
  <c r="B5"/>
  <c a="1" l="1" r="B6"/>
  <c r="B6"/>
  <c r="C6"/>
  <c i="1" r="I24"/>
  <c r="I20"/>
  <c r="I21"/>
  <c r="I22"/>
  <c r="I23"/>
  <c r="I25"/>
  <c r="I26"/>
  <c r="I27"/>
  <c r="I28"/>
  <c r="I29"/>
  <c r="I30"/>
  <c r="I19"/>
  <c i="2" l="1" r="C16"/>
  <c r="B16"/>
  <c r="C20"/>
  <c r="B20"/>
  <c r="C22"/>
  <c r="B22"/>
  <c r="C17"/>
  <c r="B17"/>
  <c r="C18"/>
  <c r="B18"/>
  <c r="C19"/>
  <c r="B19"/>
  <c r="C21"/>
  <c r="B21"/>
  <c r="C27"/>
  <c r="B27"/>
  <c r="C23"/>
  <c r="B23"/>
  <c r="C24"/>
  <c r="B24"/>
  <c r="C25"/>
  <c r="B25"/>
  <c r="C26"/>
  <c r="B26"/>
  <c r="C5"/>
  <c a="1" r="B7"/>
  <c r="B7"/>
  <c r="C7"/>
  <c a="1" l="1" r="B8"/>
  <c r="B8"/>
  <c r="C8"/>
  <c a="1" l="1" r="B9"/>
  <c r="B9"/>
  <c a="1" l="1" r="B10"/>
  <c r="B10"/>
  <c r="C10"/>
  <c r="C9"/>
</calcChain>
</file>

<file path=xl/sharedStrings.xml><?xml version="1.0" encoding="utf-8"?>
<sst xmlns="http://schemas.openxmlformats.org/spreadsheetml/2006/main">
  <si>
    <t>INVESTMENT PORTFOLIO</t>
  </si>
  <si>
    <t>Symbol</t>
  </si>
  <si>
    <t>Company Name</t>
  </si>
  <si>
    <t>Sector</t>
  </si>
  <si>
    <t>Open</t>
  </si>
  <si>
    <t>Price</t>
  </si>
  <si>
    <t>Change in Price</t>
  </si>
  <si>
    <t>Quantity</t>
  </si>
  <si>
    <t>Total</t>
  </si>
  <si>
    <t>MSFT</t>
  </si>
  <si>
    <t>Microsoft Corporation</t>
  </si>
  <si>
    <t>Technology</t>
  </si>
  <si>
    <t>LNCO</t>
  </si>
  <si>
    <t>Linn Co</t>
  </si>
  <si>
    <t>Energy</t>
  </si>
  <si>
    <t>F</t>
  </si>
  <si>
    <t>Ford Motor Co</t>
  </si>
  <si>
    <t>Consumer Cyclical</t>
  </si>
  <si>
    <t>BGSC</t>
  </si>
  <si>
    <t>BGS Acquisition Corp</t>
  </si>
  <si>
    <t>Industrials</t>
  </si>
  <si>
    <t>ADRD</t>
  </si>
  <si>
    <t>BLDRS Developed Markets 100 ADR Index F</t>
  </si>
  <si>
    <t>Consumer Defensive</t>
  </si>
  <si>
    <t>V</t>
  </si>
  <si>
    <t>Visa</t>
  </si>
  <si>
    <t>Financial Services</t>
  </si>
  <si>
    <t>MGI</t>
  </si>
  <si>
    <t>MoneyGram International Inc</t>
  </si>
  <si>
    <t>R</t>
  </si>
  <si>
    <t>Ryder System Inc</t>
  </si>
  <si>
    <t>JACK</t>
  </si>
  <si>
    <t>Jack In The Box Inc</t>
  </si>
  <si>
    <t>GE</t>
  </si>
  <si>
    <t>General Electric Co</t>
  </si>
  <si>
    <t>SBUX</t>
  </si>
  <si>
    <t>Starbucks Corporation</t>
  </si>
  <si>
    <t>NOK</t>
  </si>
  <si>
    <t>Nokia Corp ADS</t>
  </si>
  <si>
    <t>Portfolio Sectors</t>
  </si>
  <si>
    <t>Price by Sectors</t>
  </si>
  <si>
    <t>Top 5 Positions</t>
  </si>
  <si>
    <t>Company Symbol</t>
  </si>
</sst>
</file>

<file path=xl/styles.xml><?xml version="1.0" encoding="utf-8"?>
<styleSheet xmlns="http://schemas.openxmlformats.org/spreadsheetml/2006/main">
  <numFmts count="3">
    <numFmt numFmtId="165" formatCode="_-[$$-409]* #,##0.00_ ;_-[$$-409]* -#,##0.00 ;_-[$$-409]* &quot;-&quot;??_ ;_-@_ "/>
    <numFmt numFmtId="164" formatCode="0.0000"/>
    <numFmt numFmtId="44" formatCode="_(&quot;$&quot;* #,##0.00_);_(&quot;$&quot;* (#,##0.00);_(&quot;$&quot;* &quot;-&quot;??_);_(@_)"/>
  </numFmts>
  <fonts count="8">
    <font>
      <sz val="11"/>
      <color theme="1"/>
      <name val="Calibri"/>
      <family val="2"/>
      <scheme val="minor"/>
    </font>
    <font>
      <sz val="24"/>
      <color theme="1" tint="0.499984740745262"/>
      <name val="Segoe UI Semilight"/>
    </font>
    <font>
      <b/>
      <sz val="10"/>
      <color theme="0"/>
      <name val="Segoe UI"/>
      <charset val="204"/>
    </font>
    <font>
      <sz val="10"/>
      <color theme="1"/>
      <name val="Segoe UI"/>
      <charset val="204"/>
    </font>
    <font>
      <sz val="10"/>
      <color theme="1" tint="0.249977111117893"/>
      <name val="Segoe UI"/>
      <charset val="204"/>
    </font>
    <font>
      <sz val="10"/>
      <color theme="1"/>
      <name val="Segoe UI Light"/>
      <charset val="204"/>
    </font>
    <font>
      <sz val="22"/>
      <color theme="1"/>
      <name val="Segoe UI"/>
      <charset val="204"/>
    </font>
    <font>
      <sz val="11"/>
      <color theme="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8"/>
      </patternFill>
    </fill>
    <fill>
      <patternFill patternType="solid">
        <fgColor theme="8" tint="0.799981688894314"/>
        <bgColor indexed="65"/>
      </patternFill>
    </fill>
  </fills>
  <borders count="1">
    <border/>
  </borders>
  <cellStyleXfs count="4">
    <xf numFmtId="0" fontId="0" fillId="0" borderId="0"/>
    <xf numFmtId="0" fontId="7" fillId="4" borderId="0" applyNumberFormat="0" applyBorder="0" applyAlignment="0" applyProtection="0"/>
    <xf numFmtId="44" fontId="0" fillId="0" borderId="0" applyFont="0" applyFill="0" applyBorder="0" applyAlignment="0" applyProtection="0"/>
    <xf numFmtId="0" fontId="0" fillId="5" borderId="0" applyNumberFormat="0" applyBorder="0" applyAlignment="0" applyProtection="0"/>
  </cellStyleXfs>
  <cellXfs count="27">
    <xf numFmtId="0" fontId="0" fillId="0" borderId="0" xfId="0"/>
    <xf numFmtId="0" fontId="1" fillId="0" borderId="0" xfId="0" applyFont="1" applyAlignment="1">
      <alignment horizontal="left"/>
    </xf>
    <xf numFmtId="0" fontId="2" fillId="2" borderId="0" xfId="1" applyFont="1" applyFill="1" applyAlignment="1">
      <alignment horizontal="left" vertical="center" indent="1"/>
    </xf>
    <xf numFmtId="0" fontId="2" fillId="2" borderId="0" xfId="1" applyFont="1" applyFill="1" applyAlignment="1">
      <alignment horizontal="left" vertical="center"/>
    </xf>
    <xf numFmtId="0" fontId="2" fillId="2" borderId="0" xfId="1" applyFont="1" applyFill="1" applyAlignment="1">
      <alignment horizontal="right" vertical="center" indent="1"/>
    </xf>
    <xf numFmtId="0" fontId="2" fillId="2" borderId="0" xfId="1" applyFont="1" applyFill="1" applyAlignment="1">
      <alignment horizontal="right" vertical="center"/>
    </xf>
    <xf numFmtId="0" fontId="3" fillId="0" borderId="0" xfId="0" applyFont="1" applyBorder="1" applyAlignment="1">
      <alignment horizontal="left" vertical="center" indent="1"/>
    </xf>
    <xf numFmtId="0" fontId="4" fillId="0" borderId="0" xfId="0" applyNumberFormat="1" applyFont="1" applyBorder="1" applyAlignment="1">
      <alignment vertical="center"/>
    </xf>
    <xf numFmtId="49" fontId="4" fillId="0" borderId="0" xfId="0" applyNumberFormat="1" applyFont="1" applyBorder="1" applyAlignment="1">
      <alignment vertical="center"/>
    </xf>
    <xf numFmtId="165" fontId="4" fillId="0" borderId="0" xfId="2" applyNumberFormat="1" applyFont="1" applyBorder="1" applyAlignment="1">
      <alignment vertical="center"/>
    </xf>
    <xf numFmtId="164" fontId="4" fillId="0" borderId="0" xfId="0" applyNumberFormat="1" applyFont="1" applyBorder="1" applyAlignment="1">
      <alignment horizontal="right" vertical="center" indent="1"/>
    </xf>
    <xf numFmtId="165" fontId="3" fillId="0" borderId="0" xfId="0" applyNumberFormat="1" applyFont="1" applyBorder="1"/>
    <xf numFmtId="0" fontId="3" fillId="3" borderId="0" xfId="0" applyFont="1" applyFill="1" applyBorder="1" applyAlignment="1">
      <alignment horizontal="left" vertical="center" indent="1"/>
    </xf>
    <xf numFmtId="0" fontId="4" fillId="3" borderId="0" xfId="0" applyNumberFormat="1" applyFont="1" applyFill="1" applyBorder="1" applyAlignment="1">
      <alignment vertical="center"/>
    </xf>
    <xf numFmtId="49" fontId="4" fillId="3" borderId="0" xfId="0" applyNumberFormat="1" applyFont="1" applyFill="1" applyBorder="1" applyAlignment="1">
      <alignment vertical="center"/>
    </xf>
    <xf numFmtId="165" fontId="4" fillId="3" borderId="0" xfId="2" applyNumberFormat="1" applyFont="1" applyFill="1" applyBorder="1" applyAlignment="1">
      <alignment vertical="center"/>
    </xf>
    <xf numFmtId="164" fontId="4" fillId="3" borderId="0" xfId="0" applyNumberFormat="1" applyFont="1" applyFill="1" applyBorder="1" applyAlignment="1">
      <alignment horizontal="right" vertical="center" indent="1"/>
    </xf>
    <xf numFmtId="165" fontId="3" fillId="3" borderId="0" xfId="0" applyNumberFormat="1" applyFont="1" applyFill="1" applyBorder="1"/>
    <xf numFmtId="0" fontId="0" fillId="0" borderId="0" xfId="0" applyBorder="1"/>
    <xf numFmtId="0" fontId="5" fillId="0" borderId="0" xfId="0" applyNumberFormat="1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6" fillId="0" borderId="0" xfId="0" applyFont="1"/>
    <xf numFmtId="0" fontId="7" fillId="4" borderId="0" xfId="1" applyAlignment="1">
      <alignment horizontal="center" vertical="center"/>
    </xf>
    <xf numFmtId="44" fontId="0" fillId="0" borderId="0" xfId="2" applyFont="1" applyAlignment="1">
      <alignment horizontal="right" vertical="center"/>
    </xf>
    <xf numFmtId="0" fontId="0" fillId="5" borderId="0" xfId="3"/>
    <xf numFmtId="44" fontId="0" fillId="5" borderId="0" xfId="3" applyNumberFormat="1" applyAlignment="1">
      <alignment horizontal="right" vertical="center"/>
    </xf>
    <xf numFmtId="49" fontId="0" fillId="0" borderId="0" xfId="0" applyNumberFormat="1"/>
  </cellXfs>
  <cellStyles count="4">
    <cellStyle name="Normal" xfId="0" builtinId="0"/>
    <cellStyle name="Accent5" xfId="1" builtinId="45"/>
    <cellStyle name="Currency" xfId="2" builtinId="4"/>
    <cellStyle name="20% - Accent5" xfId="3" builtinId="46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theme" Target="theme/theme1.xml" /><Relationship Id="rId5" Type="http://schemas.openxmlformats.org/officeDocument/2006/relationships/calcChain" Target="calcChain.xml" /><Relationship Id="rId6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0">
              <a:defRPr lang="en-US" sz="1400" b="0" i="0" u="none" strike="noStrike" kern="1200" spc="0" baseline="0">
                <a:solidFill>
                  <a:sysClr val="windowText">
                    <a:lumMod val="65000"/>
                    <a:lumOff val="35000"/>
                  </a:sys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>
                    <a:lumMod val="65000"/>
                    <a:lumOff val="35000"/>
                  </a:sysClr>
                </a:solidFill>
                <a:latin typeface="Segoe UI" panose="020B0502040204020203" pitchFamily="34" charset="0"/>
                <a:ea typeface="+mn-ea"/>
                <a:cs typeface="+mn-cs"/>
              </a:rPr>
              <a:t>Portfolio Sectors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Calculations!$B$4</c:f>
              <c:strCache>
                <c:ptCount val="1"/>
                <c:pt idx="0">
                  <c:v>Sector</c:v>
                </c:pt>
              </c:strCache>
            </c:strRef>
          </c:tx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Calculations!$B$5:$B$10</c:f>
              <c:strCache>
                <c:ptCount val="6"/>
                <c:pt idx="0">
                  <c:v>Technology</c:v>
                </c:pt>
                <c:pt idx="1">
                  <c:v>Energy</c:v>
                </c:pt>
                <c:pt idx="2">
                  <c:v>Consumer Cyclical</c:v>
                </c:pt>
                <c:pt idx="3">
                  <c:v>Industrials</c:v>
                </c:pt>
                <c:pt idx="4">
                  <c:v>Consumer Defensive</c:v>
                </c:pt>
                <c:pt idx="5">
                  <c:v>Financial Services</c:v>
                </c:pt>
              </c:strCache>
            </c:strRef>
          </c:cat>
          <c:val>
            <c:numRef>
              <c:f>Calculations!$C$5:$C$10</c:f>
              <c:numCache>
                <c:formatCode>_("$"* #,##0.00_);_("$"* \(#,##0.00\);_("$"* "-"??_);_(@_)</c:formatCode>
                <c:ptCount val="6"/>
                <c:pt idx="0" formatCode="_(&quot;$&quot;* #,##0.00_);_(&quot;$&quot;* (#,##0.00);_(&quot;$&quot;* &quot;-&quot;??_);_(@_)">
                  <c:v>5212.35</c:v>
                </c:pt>
                <c:pt idx="1" formatCode="_(&quot;$&quot;* #,##0.00_);_(&quot;$&quot;* (#,##0.00);_(&quot;$&quot;* &quot;-&quot;??_);_(@_)">
                  <c:v>8667</c:v>
                </c:pt>
                <c:pt idx="2" formatCode="_(&quot;$&quot;* #,##0.00_);_(&quot;$&quot;* (#,##0.00);_(&quot;$&quot;* &quot;-&quot;??_);_(@_)">
                  <c:v>9084.41</c:v>
                </c:pt>
                <c:pt idx="3" formatCode="_(&quot;$&quot;* #,##0.00_);_(&quot;$&quot;* (#,##0.00);_(&quot;$&quot;* &quot;-&quot;??_);_(@_)">
                  <c:v>4780.84</c:v>
                </c:pt>
                <c:pt idx="4" formatCode="_(&quot;$&quot;* #,##0.00_);_(&quot;$&quot;* (#,##0.00);_(&quot;$&quot;* &quot;-&quot;??_);_(@_)">
                  <c:v>6438</c:v>
                </c:pt>
                <c:pt idx="5" formatCode="_(&quot;$&quot;* #,##0.00_);_(&quot;$&quot;* (#,##0.00);_(&quot;$&quot;* &quot;-&quot;??_);_(@_)">
                  <c:v>15423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l="0.7" r="0.7" t="0.75" b="0.75" header="0.3" footer="0.3"/>
    <c:pageSetup/>
  </c:printSettings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Calculations!$B$13</c:f>
              <c:strCache>
                <c:ptCount val="1"/>
                <c:pt idx="0">
                  <c:v>Top 5 Positions</c:v>
                </c:pt>
              </c:strCache>
            </c:strRef>
          </c:tx>
          <c:invertIfNegative val="0"/>
          <c:cat>
            <c:strRef>
              <c:f>Calculations!$B$23:$B$27</c:f>
              <c:strCache>
                <c:ptCount val="5"/>
                <c:pt idx="0">
                  <c:v>MSFT</c:v>
                </c:pt>
                <c:pt idx="1">
                  <c:v>SBUX</c:v>
                </c:pt>
                <c:pt idx="2">
                  <c:v>ADRD</c:v>
                </c:pt>
                <c:pt idx="3">
                  <c:v>LNCO</c:v>
                </c:pt>
                <c:pt idx="4">
                  <c:v>V</c:v>
                </c:pt>
              </c:strCache>
            </c:strRef>
          </c:cat>
          <c:val>
            <c:numRef>
              <c:f>Calculations!$C$23:$C$27</c:f>
              <c:numCache>
                <c:formatCode>_("$"* #,##0.00_);_("$"* \(#,##0.00\);_("$"* "-"??_);_(@_)</c:formatCode>
                <c:ptCount val="5"/>
                <c:pt idx="0" formatCode="_(&quot;$&quot;* #,##0.00_);_(&quot;$&quot;* (#,##0.00);_(&quot;$&quot;* &quot;-&quot;??_);_(@_)">
                  <c:v>5038.85</c:v>
                </c:pt>
                <c:pt idx="1" formatCode="_(&quot;$&quot;* #,##0.00_);_(&quot;$&quot;* (#,##0.00);_(&quot;$&quot;* &quot;-&quot;??_);_(@_)">
                  <c:v>5570</c:v>
                </c:pt>
                <c:pt idx="2" formatCode="_(&quot;$&quot;* #,##0.00_);_(&quot;$&quot;* (#,##0.00);_(&quot;$&quot;* &quot;-&quot;??_);_(@_)">
                  <c:v>6438</c:v>
                </c:pt>
                <c:pt idx="3" formatCode="_(&quot;$&quot;* #,##0.00_);_(&quot;$&quot;* (#,##0.00);_(&quot;$&quot;* &quot;-&quot;??_);_(@_)">
                  <c:v>8667</c:v>
                </c:pt>
                <c:pt idx="4" formatCode="_(&quot;$&quot;* #,##0.00_);_(&quot;$&quot;* (#,##0.00);_(&quot;$&quot;* &quot;-&quot;??_);_(@_)">
                  <c:v>15423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ax val="20000"/>
          <c:min val="0"/>
        </c:scaling>
        <c:delete val="0"/>
        <c:axPos val="b"/>
        <c:majorGridlines>
          <c:spPr>
            <a:effectLst/>
          </c:spPr>
        </c:majorGridlines>
        <c:numFmt formatCode="&quot;$&quot;#,##0_);(&quot;$&quot;#,##0)" sourceLinked="0"/>
        <c:majorTickMark val="none"/>
        <c:minorTickMark val="none"/>
        <c:tickLblPos val="nextTo"/>
        <c:spPr>
          <a:noFill/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"/>
        <c:crosses val="autoZero"/>
        <c:crossBetween val="between"/>
        <c:majorUnit val="5000"/>
      </c:valAx>
      <c:spPr>
        <a:noFill/>
        <a:effectLst/>
      </c:spPr>
    </c:plotArea>
    <c:plotVisOnly val="1"/>
    <c:dispBlanksAs val="gap"/>
    <c:showDLblsOverMax val="0"/>
  </c:chart>
  <c:spPr>
    <a:solidFill>
      <a:schemeClr val="bg1"/>
    </a:solidFill>
    <a:ln w="9525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l="0.7" r="0.7" t="0.75" b="0.75" header="0.3" footer="0.3"/>
    <c:pageSetup/>
  </c:printSettings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Relationship Id="rId2" Type="http://schemas.openxmlformats.org/officeDocument/2006/relationships/chart" Target="../charts/chart2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3</xdr:col>
      <xdr:colOff>895350</xdr:colOff>
      <xdr:row>16</xdr:row>
      <xdr:rowOff>0</xdr:rowOff>
    </xdr:to>
    <xdr:graphicFrame macro="">
      <xdr:nvGraphicFramePr>
        <xdr:cNvPr id="5" name="Chart 4" descr="The Pie chart shows allocations in different sector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1085850</xdr:colOff>
      <xdr:row>2</xdr:row>
      <xdr:rowOff>0</xdr:rowOff>
    </xdr:from>
    <xdr:to>
      <xdr:col>9</xdr:col>
      <xdr:colOff>0</xdr:colOff>
      <xdr:row>16</xdr:row>
      <xdr:rowOff>0</xdr:rowOff>
    </xdr:to>
    <xdr:graphicFrame macro="">
      <xdr:nvGraphicFramePr>
        <xdr:cNvPr id="6" name="Chart 5" descr="The Bar chart shows the top 5 positions by total val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Waveform">
      <a:dk1>
        <a:sysClr val="windowText"/>
      </a:dk1>
      <a:lt1>
        <a:sysClr val="window"/>
      </a:lt1>
      <a:dk2>
        <a:srgbClr val="073E87"/>
      </a:dk2>
      <a:lt2>
        <a:srgbClr val="C6E7FC"/>
      </a:lt2>
      <a:accent1>
        <a:srgbClr val="31B6FD"/>
      </a:accent1>
      <a:accent2>
        <a:srgbClr val="4584D3"/>
      </a:accent2>
      <a:accent3>
        <a:srgbClr val="5BD078"/>
      </a:accent3>
      <a:accent4>
        <a:srgbClr val="A5D028"/>
      </a:accent4>
      <a:accent5>
        <a:srgbClr val="F5C040"/>
      </a:accent5>
      <a:accent6>
        <a:srgbClr val="05E0DB"/>
      </a:accent6>
      <a:hlink>
        <a:srgbClr val="0080FF"/>
      </a:hlink>
      <a:folHlink>
        <a:srgbClr val="5EAEFF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Sheet1">
    <pageSetUpPr fitToPage="1"/>
  </sheetPr>
  <sheetViews>
    <sheetView tabSelected="1" zoomScaleNormal="100" workbookViewId="0"/>
  </sheetViews>
  <sheetFormatPr defaultRowHeight="15"/>
  <cols>
    <col min="1" max="1" width="3" customWidth="1"/>
    <col min="2" max="2" width="10.71094" customWidth="1"/>
    <col min="3" max="3" width="39.42578" customWidth="1"/>
    <col min="4" max="4" width="20.28516" customWidth="1"/>
    <col min="5" max="6" width="9.710938" customWidth="1"/>
    <col min="7" max="7" width="17" customWidth="1"/>
    <col min="8" max="8" width="10.85547" customWidth="1"/>
    <col min="9" max="9" width="12.57031" customWidth="1"/>
    <col min="10" max="10" width="3.425781" customWidth="1"/>
  </cols>
  <sheetData>
    <row r="1" ht="37.5">
      <c r="B1" s="1" t="s">
        <v>0</v>
      </c>
      <c r="C1" s="1"/>
      <c r="D1" s="1"/>
    </row>
    <row r="18" ht="17.1" customHeight="1">
      <c r="B18" s="2" t="s">
        <v>1</v>
      </c>
      <c r="C18" s="3" t="s">
        <v>2</v>
      </c>
      <c r="D18" s="3" t="s">
        <v>3</v>
      </c>
      <c r="E18" s="4" t="s">
        <v>4</v>
      </c>
      <c r="F18" s="4" t="s">
        <v>5</v>
      </c>
      <c r="G18" s="4" t="s">
        <v>6</v>
      </c>
      <c r="H18" s="5" t="s">
        <v>7</v>
      </c>
      <c r="I18" s="4" t="s">
        <v>8</v>
      </c>
    </row>
    <row r="19">
      <c r="B19" s="6" t="s">
        <v>9</v>
      </c>
      <c r="C19" s="7" t="s">
        <v>10</v>
      </c>
      <c r="D19" s="8" t="s">
        <v>11</v>
      </c>
      <c r="E19" s="9">
        <v>27.82</v>
      </c>
      <c r="F19" s="9">
        <v>28.149999999999999</v>
      </c>
      <c r="G19" s="10">
        <v>0.0071999999999999998</v>
      </c>
      <c r="H19" s="7">
        <v>179</v>
      </c>
      <c r="I19" s="11">
        <f>F19*H19</f>
        <v>5038.8499999999995</v>
      </c>
    </row>
    <row r="20">
      <c r="B20" s="12" t="s">
        <v>12</v>
      </c>
      <c r="C20" s="13" t="s">
        <v>13</v>
      </c>
      <c r="D20" s="14" t="s">
        <v>14</v>
      </c>
      <c r="E20" s="15">
        <v>38.799999999999997</v>
      </c>
      <c r="F20" s="15">
        <v>38.520000000000003</v>
      </c>
      <c r="G20" s="16">
        <v>-0.0067000000000000002</v>
      </c>
      <c r="H20" s="13">
        <v>225</v>
      </c>
      <c r="I20" s="17">
        <f t="shared" ref="I20:I30" si="0">F20*H20</f>
        <v>8667</v>
      </c>
    </row>
    <row r="21">
      <c r="B21" s="6" t="s">
        <v>15</v>
      </c>
      <c r="C21" s="7" t="s">
        <v>16</v>
      </c>
      <c r="D21" s="8" t="s">
        <v>17</v>
      </c>
      <c r="E21" s="9">
        <v>12.550000000000001</v>
      </c>
      <c r="F21" s="9">
        <v>12.75</v>
      </c>
      <c r="G21" s="10">
        <v>0.011100000000000001</v>
      </c>
      <c r="H21" s="7">
        <v>141</v>
      </c>
      <c r="I21" s="11">
        <f t="shared" si="0"/>
        <v>1797.75</v>
      </c>
    </row>
    <row r="22">
      <c r="B22" s="12" t="s">
        <v>18</v>
      </c>
      <c r="C22" s="13" t="s">
        <v>19</v>
      </c>
      <c r="D22" s="14" t="s">
        <v>20</v>
      </c>
      <c r="E22" s="15">
        <v>9.9299999999999997</v>
      </c>
      <c r="F22" s="15">
        <v>9.9399999999999995</v>
      </c>
      <c r="G22" s="16">
        <v>-0.002</v>
      </c>
      <c r="H22" s="13">
        <v>86</v>
      </c>
      <c r="I22" s="17">
        <f t="shared" si="0"/>
        <v>854.83999999999992</v>
      </c>
    </row>
    <row r="23">
      <c r="B23" s="6" t="s">
        <v>21</v>
      </c>
      <c r="C23" s="7" t="s">
        <v>22</v>
      </c>
      <c r="D23" s="8" t="s">
        <v>23</v>
      </c>
      <c r="E23" s="9">
        <v>21.449999999999999</v>
      </c>
      <c r="F23" s="9">
        <v>21.460000000000001</v>
      </c>
      <c r="G23" s="10">
        <v>0.0038999999999999998</v>
      </c>
      <c r="H23" s="7">
        <v>300</v>
      </c>
      <c r="I23" s="11">
        <f t="shared" si="0"/>
        <v>6438</v>
      </c>
    </row>
    <row r="24">
      <c r="B24" s="12" t="s">
        <v>24</v>
      </c>
      <c r="C24" s="13" t="s">
        <v>25</v>
      </c>
      <c r="D24" s="14" t="s">
        <v>26</v>
      </c>
      <c r="E24" s="15">
        <v>157.75999999999999</v>
      </c>
      <c r="F24" s="15">
        <v>159</v>
      </c>
      <c r="G24" s="16">
        <v>0.0089999999999999993</v>
      </c>
      <c r="H24" s="13">
        <v>97</v>
      </c>
      <c r="I24" s="17">
        <f>F24*H24</f>
        <v>15423</v>
      </c>
    </row>
    <row r="25">
      <c r="B25" s="6" t="s">
        <v>27</v>
      </c>
      <c r="C25" s="7" t="s">
        <v>28</v>
      </c>
      <c r="D25" s="8" t="s">
        <v>20</v>
      </c>
      <c r="E25" s="9">
        <v>16.469999999999999</v>
      </c>
      <c r="F25" s="9">
        <v>17.27</v>
      </c>
      <c r="G25" s="10">
        <v>0.042200000000000001</v>
      </c>
      <c r="H25" s="7">
        <v>34</v>
      </c>
      <c r="I25" s="11">
        <f t="shared" si="0"/>
        <v>587.17999999999995</v>
      </c>
    </row>
    <row r="26">
      <c r="B26" s="12" t="s">
        <v>29</v>
      </c>
      <c r="C26" s="13" t="s">
        <v>30</v>
      </c>
      <c r="D26" s="14" t="s">
        <v>20</v>
      </c>
      <c r="E26" s="15">
        <v>55.149999999999999</v>
      </c>
      <c r="F26" s="15">
        <v>55.579999999999998</v>
      </c>
      <c r="G26" s="16">
        <v>0.0027000000000000001</v>
      </c>
      <c r="H26" s="13">
        <v>45</v>
      </c>
      <c r="I26" s="17">
        <f t="shared" si="0"/>
        <v>2501.0999999999999</v>
      </c>
    </row>
    <row r="27">
      <c r="B27" s="6" t="s">
        <v>31</v>
      </c>
      <c r="C27" s="7" t="s">
        <v>32</v>
      </c>
      <c r="D27" s="8" t="s">
        <v>17</v>
      </c>
      <c r="E27" s="9">
        <v>31.969999999999999</v>
      </c>
      <c r="F27" s="9">
        <v>31.789999999999999</v>
      </c>
      <c r="G27" s="10">
        <v>-0.0080999999999999996</v>
      </c>
      <c r="H27" s="7">
        <v>54</v>
      </c>
      <c r="I27" s="11">
        <f t="shared" si="0"/>
        <v>1716.6599999999999</v>
      </c>
    </row>
    <row r="28">
      <c r="B28" s="12" t="s">
        <v>33</v>
      </c>
      <c r="C28" s="13" t="s">
        <v>34</v>
      </c>
      <c r="D28" s="14" t="s">
        <v>20</v>
      </c>
      <c r="E28" s="15">
        <v>23.149999999999999</v>
      </c>
      <c r="F28" s="15">
        <v>23.27</v>
      </c>
      <c r="G28" s="16">
        <v>0.0033999999999999998</v>
      </c>
      <c r="H28" s="13">
        <v>36</v>
      </c>
      <c r="I28" s="17">
        <f t="shared" si="0"/>
        <v>837.72000000000003</v>
      </c>
    </row>
    <row r="29">
      <c r="B29" s="6" t="s">
        <v>35</v>
      </c>
      <c r="C29" s="7" t="s">
        <v>36</v>
      </c>
      <c r="D29" s="8" t="s">
        <v>17</v>
      </c>
      <c r="E29" s="9">
        <v>54.770000000000003</v>
      </c>
      <c r="F29" s="9">
        <v>55.700000000000003</v>
      </c>
      <c r="G29" s="10">
        <v>0.015100000000000001</v>
      </c>
      <c r="H29" s="7">
        <v>100</v>
      </c>
      <c r="I29" s="11">
        <f t="shared" si="0"/>
        <v>5570</v>
      </c>
    </row>
    <row r="30">
      <c r="B30" s="12" t="s">
        <v>37</v>
      </c>
      <c r="C30" s="13" t="s">
        <v>38</v>
      </c>
      <c r="D30" s="14" t="s">
        <v>11</v>
      </c>
      <c r="E30" s="15">
        <v>3.48</v>
      </c>
      <c r="F30" s="15">
        <v>3.4700000000000002</v>
      </c>
      <c r="G30" s="16">
        <v>-0.033399999999999999</v>
      </c>
      <c r="H30" s="13">
        <v>50</v>
      </c>
      <c r="I30" s="17">
        <f t="shared" si="0"/>
        <v>173.5</v>
      </c>
    </row>
    <row r="31">
      <c r="B31" s="18"/>
      <c r="C31" s="19"/>
      <c r="D31" s="18"/>
      <c r="E31" s="18"/>
      <c r="F31" s="18"/>
      <c r="G31" s="18"/>
      <c r="H31" s="18"/>
      <c r="I31" s="18"/>
    </row>
    <row r="32">
      <c r="B32" s="18"/>
      <c r="C32" s="19"/>
      <c r="D32" s="18"/>
      <c r="E32" s="18"/>
      <c r="F32" s="18"/>
      <c r="G32" s="18"/>
      <c r="H32" s="18"/>
      <c r="I32" s="18"/>
    </row>
    <row r="33">
      <c r="B33" s="18"/>
      <c r="C33" s="20"/>
      <c r="D33" s="18"/>
      <c r="E33" s="18"/>
      <c r="F33" s="18"/>
      <c r="G33" s="18"/>
      <c r="H33" s="18"/>
      <c r="I33" s="18"/>
    </row>
    <row r="34">
      <c r="B34" s="18"/>
      <c r="C34" s="20"/>
      <c r="D34" s="18"/>
      <c r="E34" s="18"/>
      <c r="F34" s="18"/>
      <c r="G34" s="18"/>
      <c r="H34" s="18"/>
      <c r="I34" s="18"/>
    </row>
    <row r="35">
      <c r="B35" s="18"/>
      <c r="C35" s="18"/>
      <c r="D35" s="18"/>
      <c r="E35" s="18"/>
      <c r="F35" s="18"/>
      <c r="G35" s="18"/>
      <c r="H35" s="18"/>
      <c r="I35" s="18"/>
    </row>
    <row r="36">
      <c r="B36" s="18"/>
      <c r="C36" s="18"/>
      <c r="D36" s="18"/>
      <c r="E36" s="18"/>
      <c r="F36" s="18"/>
      <c r="G36" s="18"/>
      <c r="H36" s="18"/>
      <c r="I36" s="18"/>
    </row>
  </sheetData>
  <pageSetup r:id="rId1" paperSize="9" orientation="landscape" scale="95" fitToHeight="0"/>
  <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selection activeCell="B13" sqref="B13:D13"/>
    </sheetView>
  </sheetViews>
  <sheetFormatPr defaultRowHeight="15"/>
  <cols>
    <col min="1" max="1" width="4.570313" customWidth="1"/>
    <col min="2" max="2" width="21.28516" customWidth="1"/>
    <col min="3" max="3" width="15.57031" customWidth="1"/>
    <col min="8" max="8" width="9.140625" customWidth="1"/>
  </cols>
  <sheetData>
    <row r="2" ht="33">
      <c r="B2" s="21" t="s">
        <v>39</v>
      </c>
      <c r="C2" s="21"/>
    </row>
    <row r="4" ht="18.75" customHeight="1">
      <c r="B4" s="22" t="str">
        <f t="array" ref="B4">INDEX(Portfolio!$D$18:$D$30,MATCH(0,COUNTIF($B$3:B3,Portfolio!$D$18:$D$30),0))</f>
        <v>Sector</v>
      </c>
      <c r="C4" s="22" t="s">
        <v>40</v>
      </c>
    </row>
    <row r="5">
      <c r="B5" t="str">
        <f t="array" ref="B5">INDEX(Portfolio!$D$18:$D$30,MATCH(0,COUNTIF($B$3:B4,Portfolio!$D$18:$D$30),0))</f>
        <v>Technology</v>
      </c>
      <c r="C5" s="23">
        <f>SUMIFS(Portfolio!$I$19:$I$30,Portfolio!$D$19:$D$30,B5)</f>
        <v>5212.3499999999995</v>
      </c>
    </row>
    <row r="6">
      <c r="B6" s="24" t="str">
        <f t="array" ref="B6">INDEX(Portfolio!$D$18:$D$30,MATCH(0,COUNTIF($B$3:B5,Portfolio!$D$18:$D$30),0))</f>
        <v>Energy</v>
      </c>
      <c r="C6" s="25">
        <f>SUMIFS(Portfolio!$I$19:$I$30,Portfolio!$D$19:$D$30,B6)</f>
        <v>8667</v>
      </c>
    </row>
    <row r="7">
      <c r="B7" t="str">
        <f t="array" ref="B7">INDEX(Portfolio!$D$18:$D$30,MATCH(0,COUNTIF($B$3:B6,Portfolio!$D$18:$D$30),0))</f>
        <v>Consumer Cyclical</v>
      </c>
      <c r="C7" s="23">
        <f>SUMIFS(Portfolio!$I$19:$I$30,Portfolio!$D$19:$D$30,B7)</f>
        <v>9084.4099999999999</v>
      </c>
    </row>
    <row r="8">
      <c r="B8" s="24" t="str">
        <f t="array" ref="B8">INDEX(Portfolio!$D$18:$D$30,MATCH(0,COUNTIF($B$3:B7,Portfolio!$D$18:$D$30),0))</f>
        <v>Industrials</v>
      </c>
      <c r="C8" s="25">
        <f>SUMIFS(Portfolio!$I$19:$I$30,Portfolio!$D$19:$D$30,B8)</f>
        <v>4780.8400000000001</v>
      </c>
    </row>
    <row r="9">
      <c r="B9" t="str">
        <f t="array" ref="B9">INDEX(Portfolio!$D$18:$D$30,MATCH(0,COUNTIF($B$3:B8,Portfolio!$D$18:$D$30),0))</f>
        <v>Consumer Defensive</v>
      </c>
      <c r="C9" s="23">
        <f>SUMIFS(Portfolio!$I$19:$I$30,Portfolio!$D$19:$D$30,B9)</f>
        <v>6438</v>
      </c>
      <c r="D9" s="26"/>
      <c r="H9" s="26"/>
    </row>
    <row r="10">
      <c r="B10" s="24" t="str">
        <f t="array" ref="B10">INDEX(Portfolio!$D$18:$D$30,MATCH(0,COUNTIF($B$3:B9,Portfolio!$D$18:$D$30),0))</f>
        <v>Financial Services</v>
      </c>
      <c r="C10" s="25">
        <f>SUMIFS(Portfolio!$I$19:$I$30,Portfolio!$D$19:$D$30,B10)</f>
        <v>15423</v>
      </c>
    </row>
    <row r="11">
      <c r="C11" s="26"/>
    </row>
    <row r="13" ht="33">
      <c r="B13" s="21" t="s">
        <v>41</v>
      </c>
      <c r="C13" s="21"/>
      <c r="D13" s="21"/>
    </row>
    <row r="15" ht="21" customHeight="1">
      <c r="B15" s="22" t="s">
        <v>42</v>
      </c>
      <c r="C15" s="22" t="s">
        <v>8</v>
      </c>
    </row>
    <row r="16">
      <c r="B16" t="str">
        <f>INDEX(Portfolio!$B$19:$B30, MATCH(C16,Portfolio!$I$19:$I$30,0))</f>
        <v>NOK</v>
      </c>
      <c r="C16" s="23">
        <f>SMALL(Portfolio!$I$19:$I30,ROWS($C$16:$C16))</f>
        <v>173.5</v>
      </c>
    </row>
    <row r="17">
      <c r="B17" s="24" t="str">
        <f>INDEX(Portfolio!$B$19:$B31, MATCH(C17,Portfolio!$I$19:$I$30,0))</f>
        <v>MGI</v>
      </c>
      <c r="C17" s="25">
        <f>SMALL(Portfolio!$I$19:$I31,ROWS($C$16:$C17))</f>
        <v>587.17999999999995</v>
      </c>
    </row>
    <row r="18">
      <c r="B18" t="str">
        <f>INDEX(Portfolio!$B$19:$B32, MATCH(C18,Portfolio!$I$19:$I$30,0))</f>
        <v>GE</v>
      </c>
      <c r="C18" s="23">
        <f>SMALL(Portfolio!$I$19:$I32,ROWS($C$16:$C18))</f>
        <v>837.72000000000003</v>
      </c>
    </row>
    <row r="19">
      <c r="B19" s="24" t="str">
        <f>INDEX(Portfolio!$B$19:$B33, MATCH(C19,Portfolio!$I$19:$I$30,0))</f>
        <v>BGSC</v>
      </c>
      <c r="C19" s="25">
        <f>SMALL(Portfolio!$I$19:$I33,ROWS($C$16:$C19))</f>
        <v>854.83999999999992</v>
      </c>
    </row>
    <row r="20">
      <c r="B20" t="str">
        <f>INDEX(Portfolio!$B$19:$B34, MATCH(C20,Portfolio!$I$19:$I$30,0))</f>
        <v>JACK</v>
      </c>
      <c r="C20" s="23">
        <f>SMALL(Portfolio!$I$19:$I34,ROWS($C$16:$C20))</f>
        <v>1716.6599999999999</v>
      </c>
    </row>
    <row r="21">
      <c r="B21" s="24" t="str">
        <f>INDEX(Portfolio!$B$19:$B35, MATCH(C21,Portfolio!$I$19:$I$30,0))</f>
        <v>F</v>
      </c>
      <c r="C21" s="25">
        <f>SMALL(Portfolio!$I$19:$I35,ROWS($C$16:$C21))</f>
        <v>1797.75</v>
      </c>
    </row>
    <row r="22">
      <c r="B22" t="str">
        <f>INDEX(Portfolio!$B$19:$B36, MATCH(C22,Portfolio!$I$19:$I$30,0))</f>
        <v>R</v>
      </c>
      <c r="C22" s="23">
        <f>SMALL(Portfolio!$I$19:$I36,ROWS($C$16:$C22))</f>
        <v>2501.0999999999999</v>
      </c>
    </row>
    <row r="23">
      <c r="B23" s="24" t="str">
        <f>INDEX(Portfolio!$B$19:$B37, MATCH(C23,Portfolio!$I$19:$I$30,0))</f>
        <v>MSFT</v>
      </c>
      <c r="C23" s="25">
        <f>SMALL(Portfolio!$I$19:$I37,ROWS($C$16:$C23))</f>
        <v>5038.8499999999995</v>
      </c>
    </row>
    <row r="24">
      <c r="B24" t="str">
        <f>INDEX(Portfolio!$B$19:$B38, MATCH(C24,Portfolio!$I$19:$I$30,0))</f>
        <v>SBUX</v>
      </c>
      <c r="C24" s="23">
        <f>SMALL(Portfolio!$I$19:$I38,ROWS($C$16:$C24))</f>
        <v>5570</v>
      </c>
    </row>
    <row r="25">
      <c r="B25" s="24" t="str">
        <f>INDEX(Portfolio!$B$19:$B39, MATCH(C25,Portfolio!$I$19:$I$30,0))</f>
        <v>ADRD</v>
      </c>
      <c r="C25" s="25">
        <f>SMALL(Portfolio!$I$19:$I39,ROWS($C$16:$C25))</f>
        <v>6438</v>
      </c>
    </row>
    <row r="26">
      <c r="B26" t="str">
        <f>INDEX(Portfolio!$B$19:$B40, MATCH(C26,Portfolio!$I$19:$I$30,0))</f>
        <v>LNCO</v>
      </c>
      <c r="C26" s="23">
        <f>SMALL(Portfolio!$I$19:$I40,ROWS($C$16:$C26))</f>
        <v>8667</v>
      </c>
    </row>
    <row r="27">
      <c r="B27" s="24" t="str">
        <f>INDEX(Portfolio!$B$19:$B41, MATCH(C27,Portfolio!$I$19:$I$30,0))</f>
        <v>V</v>
      </c>
      <c r="C27" s="25">
        <f>SMALL(Portfolio!$I$19:$I41,ROWS($C$16:$C27))</f>
        <v>15423</v>
      </c>
    </row>
  </sheetData>
  <mergeCells count="2">
    <mergeCell ref="B2:C2"/>
    <mergeCell ref="B13:D13"/>
  </mergeCells>
  <pageSetup r:id="rId1" paperSize="9" orientation="portrait"/>
</worksheet>
</file>

<file path=docProps/app.xml><?xml version="1.0" encoding="utf-8"?>
<Properties xmlns="http://schemas.openxmlformats.org/officeDocument/2006/extended-properties">
  <Application>DevExpress Office File API/24.2.3.0</Application>
  <AppVersion>24.2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John Smith</dc:creator>
  <cp:lastModifiedBy>Alexander Russkov</cp:lastModifiedBy>
  <cp:lastPrinted>2018-10-19T12:21:48Z</cp:lastPrinted>
  <dcterms:created xsi:type="dcterms:W3CDTF">2013-11-07T05:12:24Z</dcterms:created>
  <dcterms:modified xsi:type="dcterms:W3CDTF">2025-02-18T11:24:54Z</dcterms:modified>
</cp:coreProperties>
</file>